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1"/>
  <workbookPr/>
  <mc:AlternateContent xmlns:mc="http://schemas.openxmlformats.org/markup-compatibility/2006">
    <mc:Choice Requires="x15">
      <x15ac:absPath xmlns:x15ac="http://schemas.microsoft.com/office/spreadsheetml/2010/11/ac" url="https://uofnebraska-my.sharepoint.com/personal/46376985_nebraska_edu/Documents/CIVE - 202/Project 4/"/>
    </mc:Choice>
  </mc:AlternateContent>
  <xr:revisionPtr revIDLastSave="154" documentId="8_{FCEF74FB-CFB1-224B-A9FF-CF0272428A2C}" xr6:coauthVersionLast="47" xr6:coauthVersionMax="47" xr10:uidLastSave="{51A8519C-7C4B-1846-ACD9-A2A2D7D2184F}"/>
  <bookViews>
    <workbookView xWindow="4360" yWindow="660" windowWidth="23260" windowHeight="12460" xr2:uid="{B88A5A4D-F972-C040-AAEB-03AE3CFEC926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1" i="1" l="1"/>
  <c r="D22" i="1"/>
  <c r="G2" i="1"/>
  <c r="G3" i="1"/>
  <c r="G4" i="1"/>
  <c r="G5" i="1"/>
  <c r="G6" i="1"/>
  <c r="G10" i="1"/>
  <c r="G7" i="1"/>
  <c r="G8" i="1"/>
  <c r="G11" i="1"/>
  <c r="G9" i="1"/>
  <c r="G12" i="1"/>
  <c r="G13" i="1"/>
  <c r="G14" i="1"/>
  <c r="G15" i="1"/>
  <c r="G16" i="1"/>
  <c r="G17" i="1"/>
  <c r="G18" i="1"/>
  <c r="G19" i="1"/>
  <c r="G20" i="1"/>
  <c r="G22" i="1" l="1"/>
</calcChain>
</file>

<file path=xl/sharedStrings.xml><?xml version="1.0" encoding="utf-8"?>
<sst xmlns="http://schemas.openxmlformats.org/spreadsheetml/2006/main" count="39" uniqueCount="30">
  <si>
    <t>Day of The Week</t>
  </si>
  <si>
    <t xml:space="preserve">Date </t>
  </si>
  <si>
    <t>Person(s)</t>
  </si>
  <si>
    <t xml:space="preserve">Hours Worked </t>
  </si>
  <si>
    <t xml:space="preserve">Tasks Completed </t>
  </si>
  <si>
    <t>Hourly Rate</t>
  </si>
  <si>
    <t xml:space="preserve">Total Compensation </t>
  </si>
  <si>
    <t>Thursday</t>
  </si>
  <si>
    <t>S. Rogers</t>
  </si>
  <si>
    <t>Created tme sheet, added project deliverables to SOW.</t>
  </si>
  <si>
    <t>I. Jones</t>
  </si>
  <si>
    <t>Worked on SOW, researched and understood background information.</t>
  </si>
  <si>
    <t>Monday</t>
  </si>
  <si>
    <t xml:space="preserve">Created new defitions of risk and included them in the methods section of the report. </t>
  </si>
  <si>
    <t xml:space="preserve">Tuesday </t>
  </si>
  <si>
    <t xml:space="preserve">S. Rogers </t>
  </si>
  <si>
    <t xml:space="preserve">Total </t>
  </si>
  <si>
    <t>Total</t>
  </si>
  <si>
    <t>Sunday</t>
  </si>
  <si>
    <t>Friday</t>
  </si>
  <si>
    <t>E. McNeely</t>
  </si>
  <si>
    <t>Created project Gantt Chart which documents what has been completed and the timeline of what sill needs to be done.</t>
  </si>
  <si>
    <t>Created code for visualizations that show a comparison between the groups definition of risk and the current NRI definition.</t>
  </si>
  <si>
    <t>Worked on code defining risk and calculated the groups risk value by county for both states.</t>
  </si>
  <si>
    <t>Finalized Python code by adjusting visualizations and adding the necessary Geopandas choropleth maps.</t>
  </si>
  <si>
    <t>Write and compile Methods and Discussion section of report as well as polish report for submission.</t>
  </si>
  <si>
    <t xml:space="preserve">Monday </t>
  </si>
  <si>
    <t>Saturday</t>
  </si>
  <si>
    <t xml:space="preserve">Completed the Annotated Code Document </t>
  </si>
  <si>
    <t xml:space="preserve">Worked on the .readme file for GitHub and added in completed files for submission.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</si>
</sst>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/>
    </xf>
  </cellXfs>
  <cellStyles count="1">
    <cellStyle name="Normal" xfId="0" builtinId="0"/>
  </cellStyles>
  <dxfs count="9">
    <dxf>
      <numFmt numFmtId="0" formatCode="General"/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E35FEEC-E605-4249-B068-151964DA76F6}" name="Table2" displayName="Table2" ref="A1:G21" totalsRowShown="0" headerRowDxfId="8" dataDxfId="7">
  <autoFilter ref="A1:G21" xr:uid="{3E35FEEC-E605-4249-B068-151964DA76F6}"/>
  <tableColumns count="7">
    <tableColumn id="1" xr3:uid="{DD7BAB81-DEFC-F24A-B36A-22ECC9A56EDE}" name="Day of The Week" dataDxfId="6"/>
    <tableColumn id="2" xr3:uid="{3BED003B-2F2A-574E-B2B7-003BC57B7702}" name="Date " dataDxfId="5"/>
    <tableColumn id="3" xr3:uid="{CAB95FE8-FF2C-5043-8A80-8FF33C924F26}" name="Person(s)" dataDxfId="4"/>
    <tableColumn id="4" xr3:uid="{906C350A-E0EE-534B-BDB1-6E8D41E67E81}" name="Hours Worked " dataDxfId="3"/>
    <tableColumn id="5" xr3:uid="{A6F09674-2833-4E4D-84A5-89E930B5B83B}" name="Tasks Completed " dataDxfId="2"/>
    <tableColumn id="6" xr3:uid="{9FC71D14-D6DD-644B-9C41-955BADF98335}" name="Hourly Rate" dataDxfId="1"/>
    <tableColumn id="7" xr3:uid="{7C435636-86EF-804D-84EA-5151A12118C8}" name="Total Compensation " dataDxfId="0">
      <calculatedColumnFormula>Table2[[#This Row],[Hourly Rate]]*Table2[[#This Row],[Hours Worked ]]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96A33D-9485-3C46-927D-85481DA1AE01}">
  <dimension ref="A1:G22"/>
  <sheetViews>
    <sheetView tabSelected="1" workbookViewId="0">
      <selection activeCell="E15" sqref="E15"/>
    </sheetView>
  </sheetViews>
  <sheetFormatPr baseColWidth="10" defaultColWidth="11" defaultRowHeight="16" x14ac:dyDescent="0.2"/>
  <cols>
    <col min="1" max="1" width="16.83203125" customWidth="1"/>
    <col min="2" max="3" width="12.6640625" customWidth="1"/>
    <col min="4" max="4" width="14.33203125" customWidth="1"/>
    <col min="5" max="5" width="105.83203125" customWidth="1"/>
    <col min="6" max="6" width="16.33203125" bestFit="1" customWidth="1"/>
    <col min="7" max="7" width="25.5" bestFit="1" customWidth="1"/>
  </cols>
  <sheetData>
    <row r="1" spans="1:7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x14ac:dyDescent="0.2">
      <c r="A2" s="3" t="s">
        <v>7</v>
      </c>
      <c r="B2" s="4">
        <v>46114</v>
      </c>
      <c r="C2" s="3" t="s">
        <v>8</v>
      </c>
      <c r="D2" s="3">
        <v>0.5</v>
      </c>
      <c r="E2" s="3" t="s">
        <v>9</v>
      </c>
      <c r="F2" s="5">
        <v>18</v>
      </c>
      <c r="G2" s="5">
        <f>Table2[[#This Row],[Hourly Rate]]*Table2[[#This Row],[Hours Worked ]]</f>
        <v>9</v>
      </c>
    </row>
    <row r="3" spans="1:7" x14ac:dyDescent="0.2">
      <c r="A3" s="3" t="s">
        <v>7</v>
      </c>
      <c r="B3" s="4">
        <v>46114</v>
      </c>
      <c r="C3" s="3" t="s">
        <v>10</v>
      </c>
      <c r="D3" s="3">
        <v>1</v>
      </c>
      <c r="E3" s="3" t="s">
        <v>11</v>
      </c>
      <c r="F3" s="5">
        <v>18</v>
      </c>
      <c r="G3" s="5">
        <f>Table2[[#This Row],[Hourly Rate]]*Table2[[#This Row],[Hours Worked ]]</f>
        <v>18</v>
      </c>
    </row>
    <row r="4" spans="1:7" x14ac:dyDescent="0.2">
      <c r="A4" s="3" t="s">
        <v>12</v>
      </c>
      <c r="B4" s="4">
        <v>46118</v>
      </c>
      <c r="C4" s="3" t="s">
        <v>8</v>
      </c>
      <c r="D4" s="3">
        <v>0.75</v>
      </c>
      <c r="E4" s="3" t="s">
        <v>13</v>
      </c>
      <c r="F4" s="5">
        <v>18</v>
      </c>
      <c r="G4" s="5">
        <f>Table2[[#This Row],[Hourly Rate]]*Table2[[#This Row],[Hours Worked ]]</f>
        <v>13.5</v>
      </c>
    </row>
    <row r="5" spans="1:7" x14ac:dyDescent="0.2">
      <c r="A5" s="3" t="s">
        <v>14</v>
      </c>
      <c r="B5" s="4">
        <v>46126</v>
      </c>
      <c r="C5" s="3" t="s">
        <v>15</v>
      </c>
      <c r="D5" s="3">
        <v>1</v>
      </c>
      <c r="E5" s="3" t="s">
        <v>23</v>
      </c>
      <c r="F5" s="5">
        <v>18</v>
      </c>
      <c r="G5" s="5">
        <f>Table2[[#This Row],[Hourly Rate]]*Table2[[#This Row],[Hours Worked ]]</f>
        <v>18</v>
      </c>
    </row>
    <row r="6" spans="1:7" x14ac:dyDescent="0.2">
      <c r="A6" s="3" t="s">
        <v>14</v>
      </c>
      <c r="B6" s="4">
        <v>46126</v>
      </c>
      <c r="C6" s="3" t="s">
        <v>8</v>
      </c>
      <c r="D6" s="3">
        <v>0.75</v>
      </c>
      <c r="E6" s="3" t="s">
        <v>22</v>
      </c>
      <c r="F6" s="5">
        <v>18</v>
      </c>
      <c r="G6" s="5">
        <f>Table2[[#This Row],[Hourly Rate]]*Table2[[#This Row],[Hours Worked ]]</f>
        <v>13.5</v>
      </c>
    </row>
    <row r="7" spans="1:7" x14ac:dyDescent="0.2">
      <c r="A7" s="3" t="s">
        <v>7</v>
      </c>
      <c r="B7" s="4">
        <v>46128</v>
      </c>
      <c r="C7" s="3" t="s">
        <v>20</v>
      </c>
      <c r="D7" s="3">
        <v>0.75</v>
      </c>
      <c r="E7" s="3" t="s">
        <v>21</v>
      </c>
      <c r="F7" s="5">
        <v>18</v>
      </c>
      <c r="G7" s="5">
        <f>Table2[[#This Row],[Hourly Rate]]*Table2[[#This Row],[Hours Worked ]]</f>
        <v>13.5</v>
      </c>
    </row>
    <row r="8" spans="1:7" x14ac:dyDescent="0.2">
      <c r="A8" s="3" t="s">
        <v>19</v>
      </c>
      <c r="B8" s="4">
        <v>46129</v>
      </c>
      <c r="C8" s="3" t="s">
        <v>15</v>
      </c>
      <c r="D8" s="3">
        <v>1</v>
      </c>
      <c r="E8" s="3" t="s">
        <v>24</v>
      </c>
      <c r="F8" s="5">
        <v>18</v>
      </c>
      <c r="G8" s="5">
        <f>Table2[[#This Row],[Hourly Rate]]*Table2[[#This Row],[Hours Worked ]]</f>
        <v>18</v>
      </c>
    </row>
    <row r="9" spans="1:7" x14ac:dyDescent="0.2">
      <c r="A9" s="3" t="s">
        <v>27</v>
      </c>
      <c r="B9" s="4">
        <v>46130</v>
      </c>
      <c r="C9" s="3" t="s">
        <v>8</v>
      </c>
      <c r="D9" s="3">
        <v>1.75</v>
      </c>
      <c r="E9" s="3" t="s">
        <v>28</v>
      </c>
      <c r="F9" s="5">
        <v>18</v>
      </c>
      <c r="G9" s="5">
        <f>Table2[[#This Row],[Hourly Rate]]*Table2[[#This Row],[Hours Worked ]]</f>
        <v>31.5</v>
      </c>
    </row>
    <row r="10" spans="1:7" x14ac:dyDescent="0.2">
      <c r="A10" s="3" t="s">
        <v>18</v>
      </c>
      <c r="B10" s="4">
        <v>46131</v>
      </c>
      <c r="C10" s="3" t="s">
        <v>10</v>
      </c>
      <c r="D10" s="3">
        <v>1.5</v>
      </c>
      <c r="E10" s="3" t="s">
        <v>25</v>
      </c>
      <c r="F10" s="5">
        <v>18</v>
      </c>
      <c r="G10" s="5">
        <f>Table2[[#This Row],[Hourly Rate]]*Table2[[#This Row],[Hours Worked ]]</f>
        <v>27</v>
      </c>
    </row>
    <row r="11" spans="1:7" x14ac:dyDescent="0.2">
      <c r="A11" s="3" t="s">
        <v>26</v>
      </c>
      <c r="B11" s="4">
        <v>46132</v>
      </c>
      <c r="C11" s="3" t="s">
        <v>8</v>
      </c>
      <c r="D11" s="3">
        <v>1</v>
      </c>
      <c r="E11" s="3" t="s">
        <v>29</v>
      </c>
      <c r="F11" s="5">
        <v>18</v>
      </c>
      <c r="G11" s="5">
        <f>Table2[[#This Row],[Hourly Rate]]*Table2[[#This Row],[Hours Worked ]]</f>
        <v>18</v>
      </c>
    </row>
    <row r="12" spans="1:7" x14ac:dyDescent="0.2">
      <c r="A12" s="3"/>
      <c r="B12" s="3"/>
      <c r="C12" s="3"/>
      <c r="D12" s="3"/>
      <c r="E12" s="3"/>
      <c r="F12" s="5"/>
      <c r="G12" s="5">
        <f>Table2[[#This Row],[Hourly Rate]]*Table2[[#This Row],[Hours Worked ]]</f>
        <v>0</v>
      </c>
    </row>
    <row r="13" spans="1:7" x14ac:dyDescent="0.2">
      <c r="A13" s="3"/>
      <c r="B13" s="3"/>
      <c r="C13" s="3"/>
      <c r="D13" s="3"/>
      <c r="E13" s="3"/>
      <c r="F13" s="5"/>
      <c r="G13" s="5">
        <f>Table2[[#This Row],[Hourly Rate]]*Table2[[#This Row],[Hours Worked ]]</f>
        <v>0</v>
      </c>
    </row>
    <row r="14" spans="1:7" x14ac:dyDescent="0.2">
      <c r="A14" s="3"/>
      <c r="B14" s="3"/>
      <c r="C14" s="3"/>
      <c r="D14" s="3"/>
      <c r="E14" s="3"/>
      <c r="F14" s="5"/>
      <c r="G14" s="5">
        <f>Table2[[#This Row],[Hourly Rate]]*Table2[[#This Row],[Hours Worked ]]</f>
        <v>0</v>
      </c>
    </row>
    <row r="15" spans="1:7" x14ac:dyDescent="0.2">
      <c r="A15" s="3"/>
      <c r="B15" s="3"/>
      <c r="C15" s="3"/>
      <c r="D15" s="3"/>
      <c r="E15" s="3"/>
      <c r="F15" s="5"/>
      <c r="G15" s="5">
        <f>Table2[[#This Row],[Hourly Rate]]*Table2[[#This Row],[Hours Worked ]]</f>
        <v>0</v>
      </c>
    </row>
    <row r="16" spans="1:7" x14ac:dyDescent="0.2">
      <c r="A16" s="3"/>
      <c r="B16" s="3"/>
      <c r="C16" s="3"/>
      <c r="D16" s="3"/>
      <c r="E16" s="3"/>
      <c r="F16" s="5"/>
      <c r="G16" s="5">
        <f>Table2[[#This Row],[Hourly Rate]]*Table2[[#This Row],[Hours Worked ]]</f>
        <v>0</v>
      </c>
    </row>
    <row r="17" spans="1:7" x14ac:dyDescent="0.2">
      <c r="A17" s="3"/>
      <c r="B17" s="3"/>
      <c r="C17" s="3"/>
      <c r="D17" s="3"/>
      <c r="E17" s="3"/>
      <c r="F17" s="5"/>
      <c r="G17" s="5">
        <f>Table2[[#This Row],[Hourly Rate]]*Table2[[#This Row],[Hours Worked ]]</f>
        <v>0</v>
      </c>
    </row>
    <row r="18" spans="1:7" x14ac:dyDescent="0.2">
      <c r="A18" s="3"/>
      <c r="B18" s="3"/>
      <c r="C18" s="3"/>
      <c r="D18" s="3"/>
      <c r="E18" s="3"/>
      <c r="F18" s="5"/>
      <c r="G18" s="5">
        <f>Table2[[#This Row],[Hourly Rate]]*Table2[[#This Row],[Hours Worked ]]</f>
        <v>0</v>
      </c>
    </row>
    <row r="19" spans="1:7" x14ac:dyDescent="0.2">
      <c r="A19" s="3"/>
      <c r="B19" s="3"/>
      <c r="C19" s="3"/>
      <c r="D19" s="3"/>
      <c r="E19" s="3"/>
      <c r="F19" s="5"/>
      <c r="G19" s="5">
        <f>Table2[[#This Row],[Hourly Rate]]*Table2[[#This Row],[Hours Worked ]]</f>
        <v>0</v>
      </c>
    </row>
    <row r="20" spans="1:7" x14ac:dyDescent="0.2">
      <c r="A20" s="3"/>
      <c r="B20" s="3"/>
      <c r="C20" s="3"/>
      <c r="D20" s="3"/>
      <c r="E20" s="3"/>
      <c r="F20" s="5"/>
      <c r="G20" s="5">
        <f>Table2[[#This Row],[Hourly Rate]]*Table2[[#This Row],[Hours Worked ]]</f>
        <v>0</v>
      </c>
    </row>
    <row r="21" spans="1:7" x14ac:dyDescent="0.2">
      <c r="G21" s="5">
        <f>Table2[[#This Row],[Hourly Rate]]*Table2[[#This Row],[Hours Worked ]]</f>
        <v>0</v>
      </c>
    </row>
    <row r="22" spans="1:7" x14ac:dyDescent="0.2">
      <c r="C22" s="1" t="s">
        <v>16</v>
      </c>
      <c r="D22" s="1">
        <f>SUM(D2:D20)</f>
        <v>10</v>
      </c>
      <c r="F22" s="1" t="s">
        <v>17</v>
      </c>
      <c r="G22" s="1">
        <f>SUM(Table2[[Total Compensation ]])</f>
        <v>180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Schaefer Rogers</dc:creator>
  <cp:keywords/>
  <dc:description/>
  <cp:lastModifiedBy>Schaefer Rogers</cp:lastModifiedBy>
  <cp:revision/>
  <dcterms:created xsi:type="dcterms:W3CDTF">2026-03-03T17:12:45Z</dcterms:created>
  <dcterms:modified xsi:type="dcterms:W3CDTF">2026-04-20T22:07:47Z</dcterms:modified>
  <cp:category/>
  <cp:contentStatus/>
</cp:coreProperties>
</file>